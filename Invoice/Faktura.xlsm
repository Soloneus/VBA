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kajet\Desktop\"/>
    </mc:Choice>
  </mc:AlternateContent>
  <xr:revisionPtr revIDLastSave="0" documentId="13_ncr:1_{4DB6F632-E589-42F1-918D-184DD59EA64C}" xr6:coauthVersionLast="47" xr6:coauthVersionMax="47" xr10:uidLastSave="{00000000-0000-0000-0000-000000000000}"/>
  <bookViews>
    <workbookView xWindow="-120" yWindow="-120" windowWidth="29040" windowHeight="15720" xr2:uid="{B816125F-6562-441A-A0AB-BF5E0B7DC574}"/>
  </bookViews>
  <sheets>
    <sheet name="Faktura" sheetId="1" r:id="rId1"/>
    <sheet name="Samochody" sheetId="2" r:id="rId2"/>
    <sheet name="Klienci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8" i="1" l="1"/>
  <c r="R22" i="1"/>
  <c r="K28" i="1" s="1"/>
  <c r="R7" i="1"/>
  <c r="R9" i="1" s="1"/>
  <c r="R6" i="1"/>
  <c r="L3" i="1"/>
  <c r="Q28" i="1" l="1"/>
</calcChain>
</file>

<file path=xl/sharedStrings.xml><?xml version="1.0" encoding="utf-8"?>
<sst xmlns="http://schemas.openxmlformats.org/spreadsheetml/2006/main" count="87" uniqueCount="81">
  <si>
    <t>Citroen Jumper</t>
  </si>
  <si>
    <t>Citroen Jumpy</t>
  </si>
  <si>
    <t>Citroen Berlingo</t>
  </si>
  <si>
    <t>Citroen Nemo</t>
  </si>
  <si>
    <t>Dacia Dokker</t>
  </si>
  <si>
    <t>FIAT Ducato</t>
  </si>
  <si>
    <t>FIAT Doblò</t>
  </si>
  <si>
    <t>FIAT Scudo</t>
  </si>
  <si>
    <t>FIAT Fiorino</t>
  </si>
  <si>
    <t>Ford Ranger</t>
  </si>
  <si>
    <t>Ford Transit</t>
  </si>
  <si>
    <t>Iveco Daily</t>
  </si>
  <si>
    <t>Hyundai Starex</t>
  </si>
  <si>
    <t>Hyundai iLoad</t>
  </si>
  <si>
    <t>Opel Vivaro</t>
  </si>
  <si>
    <t>Peugeot Boxer</t>
  </si>
  <si>
    <t>Peugeot Expert</t>
  </si>
  <si>
    <t>Paulina Sobczak</t>
  </si>
  <si>
    <t>Henryk Bąk</t>
  </si>
  <si>
    <t>Kazimierz Górski</t>
  </si>
  <si>
    <t>Irena Wójcik</t>
  </si>
  <si>
    <t>Marian Chmielewski</t>
  </si>
  <si>
    <t>Małgorzata Jaworska</t>
  </si>
  <si>
    <t>Ewa Duda</t>
  </si>
  <si>
    <t>Jakub Malinowski</t>
  </si>
  <si>
    <t>Jadwiga Brzezińska</t>
  </si>
  <si>
    <t>Roman Sawicki</t>
  </si>
  <si>
    <t>Marcin Szymczak</t>
  </si>
  <si>
    <t>Joanna Baranowska</t>
  </si>
  <si>
    <t>Maciej Szczepański</t>
  </si>
  <si>
    <t>Czesław Wróbel</t>
  </si>
  <si>
    <t>Grażyna Górska</t>
  </si>
  <si>
    <t>Wanda Krawczyk</t>
  </si>
  <si>
    <t>Renata Urbańska</t>
  </si>
  <si>
    <t>Wiesława Tomaszewska</t>
  </si>
  <si>
    <t>Bożena Baranowska</t>
  </si>
  <si>
    <t>Ewelina Malinowska</t>
  </si>
  <si>
    <t>Anna Krajewska</t>
  </si>
  <si>
    <t>Mieczysław Zając</t>
  </si>
  <si>
    <t>Wiesław Przybylski</t>
  </si>
  <si>
    <t>Dorota Tomaszewska</t>
  </si>
  <si>
    <t>Jerzy Wróblewski</t>
  </si>
  <si>
    <t>Magdalena Adamczyk</t>
  </si>
  <si>
    <t>Władysław Piotrowski</t>
  </si>
  <si>
    <t>Marek Wiśniewski</t>
  </si>
  <si>
    <t>Stanisława Głowacka</t>
  </si>
  <si>
    <t>Agata Kubiak</t>
  </si>
  <si>
    <t>Marian Kowalski</t>
  </si>
  <si>
    <t>Piotr Szymański</t>
  </si>
  <si>
    <t>Stanisław Kowalski</t>
  </si>
  <si>
    <t>Aleksandra Szulc</t>
  </si>
  <si>
    <t>Tomasz Kucharski</t>
  </si>
  <si>
    <t>Wystawiono</t>
  </si>
  <si>
    <t>Kraków</t>
  </si>
  <si>
    <t>Faktura VAT nr WDT</t>
  </si>
  <si>
    <t>Data sprzedaży:</t>
  </si>
  <si>
    <t>Sposób zapłaty:</t>
  </si>
  <si>
    <t>Termin płatności</t>
  </si>
  <si>
    <t>Sprzedwca:</t>
  </si>
  <si>
    <t>Nabywca:</t>
  </si>
  <si>
    <t>Firma ABC</t>
  </si>
  <si>
    <t>ul. Jasna 10</t>
  </si>
  <si>
    <t>31-223 Kraków</t>
  </si>
  <si>
    <t>Polska</t>
  </si>
  <si>
    <t>NIP/VAT no.: PL9720902729</t>
  </si>
  <si>
    <t>POZYCJE FAKTURY</t>
  </si>
  <si>
    <t>LP</t>
  </si>
  <si>
    <t>Nazwa usługi</t>
  </si>
  <si>
    <t>Usługa transportowa</t>
  </si>
  <si>
    <t>Samochód</t>
  </si>
  <si>
    <t>Dystans [km]</t>
  </si>
  <si>
    <t>Samochód:</t>
  </si>
  <si>
    <t>PODSUMOWANIE</t>
  </si>
  <si>
    <t>Wartość netto</t>
  </si>
  <si>
    <t>Rodzaj transportu:</t>
  </si>
  <si>
    <t>Stawka VAT</t>
  </si>
  <si>
    <t>Rodzaj Transportu</t>
  </si>
  <si>
    <t>Wartość brutto</t>
  </si>
  <si>
    <t>Faktura bez podpisu odbiorcy</t>
  </si>
  <si>
    <t>Osoba upoważniona do wystawienia faktury VAT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</si>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</sst>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/mm\/yyyy"/>
    <numFmt numFmtId="165" formatCode="0.0"/>
    <numFmt numFmtId="166" formatCode="#,##0.00\ &quot;zł&quot;"/>
  </numFmts>
  <fonts count="6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12"/>
      <color rgb="FF000000"/>
      <name val="Calibri"/>
      <family val="2"/>
      <charset val="238"/>
    </font>
    <font>
      <b/>
      <sz val="8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</cellStyleXfs>
  <cellXfs count="35">
    <xf numFmtId="0" fontId="0" fillId="0" borderId="0" xfId="0"/>
    <xf numFmtId="0" fontId="1" fillId="2" borderId="0" xfId="1"/>
    <xf numFmtId="0" fontId="1" fillId="3" borderId="1" xfId="2" applyBorder="1"/>
    <xf numFmtId="14" fontId="1" fillId="3" borderId="0" xfId="2" applyNumberFormat="1" applyBorder="1"/>
    <xf numFmtId="0" fontId="1" fillId="3" borderId="0" xfId="2" applyBorder="1"/>
    <xf numFmtId="0" fontId="1" fillId="3" borderId="2" xfId="2" applyBorder="1"/>
    <xf numFmtId="0" fontId="3" fillId="3" borderId="0" xfId="2" applyFont="1" applyBorder="1"/>
    <xf numFmtId="14" fontId="3" fillId="3" borderId="0" xfId="2" applyNumberFormat="1" applyFont="1" applyBorder="1"/>
    <xf numFmtId="0" fontId="2" fillId="3" borderId="0" xfId="2" applyFont="1" applyBorder="1"/>
    <xf numFmtId="164" fontId="2" fillId="3" borderId="0" xfId="2" applyNumberFormat="1" applyFont="1" applyBorder="1"/>
    <xf numFmtId="0" fontId="3" fillId="3" borderId="0" xfId="2" applyFont="1" applyBorder="1" applyAlignment="1">
      <alignment horizontal="right"/>
    </xf>
    <xf numFmtId="0" fontId="1" fillId="3" borderId="3" xfId="2" applyBorder="1"/>
    <xf numFmtId="0" fontId="1" fillId="3" borderId="4" xfId="2" applyBorder="1"/>
    <xf numFmtId="0" fontId="1" fillId="3" borderId="5" xfId="2" applyBorder="1"/>
    <xf numFmtId="0" fontId="1" fillId="3" borderId="6" xfId="2" applyBorder="1"/>
    <xf numFmtId="0" fontId="1" fillId="3" borderId="7" xfId="2" applyBorder="1"/>
    <xf numFmtId="0" fontId="1" fillId="3" borderId="8" xfId="2" applyBorder="1"/>
    <xf numFmtId="0" fontId="1" fillId="3" borderId="9" xfId="2" applyBorder="1" applyAlignment="1">
      <alignment horizontal="center"/>
    </xf>
    <xf numFmtId="165" fontId="0" fillId="0" borderId="0" xfId="0" applyNumberFormat="1"/>
    <xf numFmtId="0" fontId="2" fillId="3" borderId="9" xfId="2" applyFont="1" applyBorder="1" applyAlignment="1">
      <alignment horizontal="center"/>
    </xf>
    <xf numFmtId="0" fontId="2" fillId="2" borderId="0" xfId="1" applyFont="1"/>
    <xf numFmtId="0" fontId="5" fillId="3" borderId="0" xfId="2" applyFont="1" applyBorder="1" applyAlignment="1">
      <alignment horizontal="center"/>
    </xf>
    <xf numFmtId="0" fontId="1" fillId="4" borderId="10" xfId="3" applyNumberFormat="1" applyBorder="1" applyAlignment="1">
      <alignment horizontal="center"/>
    </xf>
    <xf numFmtId="0" fontId="1" fillId="4" borderId="11" xfId="3" applyNumberFormat="1" applyBorder="1" applyAlignment="1">
      <alignment horizontal="center"/>
    </xf>
    <xf numFmtId="0" fontId="2" fillId="3" borderId="10" xfId="2" applyFont="1" applyBorder="1" applyAlignment="1">
      <alignment horizontal="center"/>
    </xf>
    <xf numFmtId="0" fontId="2" fillId="3" borderId="11" xfId="2" applyFont="1" applyBorder="1" applyAlignment="1">
      <alignment horizontal="center"/>
    </xf>
    <xf numFmtId="0" fontId="1" fillId="3" borderId="10" xfId="2" applyBorder="1" applyAlignment="1">
      <alignment horizontal="center"/>
    </xf>
    <xf numFmtId="0" fontId="1" fillId="3" borderId="11" xfId="2" applyBorder="1" applyAlignment="1">
      <alignment horizontal="center"/>
    </xf>
    <xf numFmtId="166" fontId="1" fillId="3" borderId="10" xfId="2" applyNumberFormat="1" applyBorder="1" applyAlignment="1">
      <alignment horizontal="center"/>
    </xf>
    <xf numFmtId="166" fontId="1" fillId="3" borderId="11" xfId="2" applyNumberFormat="1" applyBorder="1" applyAlignment="1">
      <alignment horizontal="center"/>
    </xf>
    <xf numFmtId="0" fontId="2" fillId="3" borderId="9" xfId="2" applyFont="1" applyBorder="1" applyAlignment="1">
      <alignment horizontal="center"/>
    </xf>
    <xf numFmtId="9" fontId="1" fillId="3" borderId="9" xfId="2" applyNumberFormat="1" applyBorder="1" applyAlignment="1">
      <alignment horizontal="center"/>
    </xf>
    <xf numFmtId="0" fontId="5" fillId="3" borderId="7" xfId="2" applyFont="1" applyBorder="1" applyAlignment="1">
      <alignment horizontal="center"/>
    </xf>
    <xf numFmtId="0" fontId="2" fillId="3" borderId="12" xfId="2" applyFont="1" applyBorder="1" applyAlignment="1">
      <alignment horizontal="center"/>
    </xf>
    <xf numFmtId="166" fontId="1" fillId="3" borderId="12" xfId="2" applyNumberFormat="1" applyBorder="1" applyAlignment="1">
      <alignment horizontal="center"/>
    </xf>
  </cellXfs>
  <cellStyles count="4">
    <cellStyle name="20% — akcent 3" xfId="1" builtinId="38" customBuiltin="1"/>
    <cellStyle name="40% — akcent 5" xfId="2" builtinId="47"/>
    <cellStyle name="40% — akcent 6" xfId="3" builtinId="51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3</xdr:row>
          <xdr:rowOff>180975</xdr:rowOff>
        </xdr:from>
        <xdr:to>
          <xdr:col>26</xdr:col>
          <xdr:colOff>247650</xdr:colOff>
          <xdr:row>5</xdr:row>
          <xdr:rowOff>38100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5</xdr:row>
          <xdr:rowOff>180975</xdr:rowOff>
        </xdr:from>
        <xdr:to>
          <xdr:col>26</xdr:col>
          <xdr:colOff>257175</xdr:colOff>
          <xdr:row>7</xdr:row>
          <xdr:rowOff>38100</xdr:rowOff>
        </xdr:to>
        <xdr:sp macro="" textlink="">
          <xdr:nvSpPr>
            <xdr:cNvPr id="1027" name="ComboBox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7</xdr:row>
          <xdr:rowOff>171450</xdr:rowOff>
        </xdr:from>
        <xdr:to>
          <xdr:col>26</xdr:col>
          <xdr:colOff>247650</xdr:colOff>
          <xdr:row>9</xdr:row>
          <xdr:rowOff>38100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9</xdr:row>
          <xdr:rowOff>171450</xdr:rowOff>
        </xdr:from>
        <xdr:to>
          <xdr:col>26</xdr:col>
          <xdr:colOff>266700</xdr:colOff>
          <xdr:row>11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104775</xdr:colOff>
          <xdr:row>12</xdr:row>
          <xdr:rowOff>171450</xdr:rowOff>
        </xdr:from>
        <xdr:to>
          <xdr:col>26</xdr:col>
          <xdr:colOff>190500</xdr:colOff>
          <xdr:row>15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Drukuj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77E92-389A-4D4A-8B62-A109AD13CF39}">
  <sheetPr codeName="Faktura">
    <pageSetUpPr fitToPage="1"/>
  </sheetPr>
  <dimension ref="A1:AM358"/>
  <sheetViews>
    <sheetView tabSelected="1" workbookViewId="0">
      <selection activeCell="N22" sqref="N22:O22"/>
    </sheetView>
  </sheetViews>
  <sheetFormatPr defaultRowHeight="15" x14ac:dyDescent="0.25"/>
  <cols>
    <col min="11" max="11" width="9.85546875" customWidth="1"/>
    <col min="12" max="12" width="10.140625" bestFit="1" customWidth="1"/>
    <col min="13" max="13" width="9.28515625" customWidth="1"/>
    <col min="14" max="14" width="9.85546875" bestFit="1" customWidth="1"/>
    <col min="15" max="15" width="9.140625" customWidth="1"/>
    <col min="18" max="18" width="10.7109375" bestFit="1" customWidth="1"/>
  </cols>
  <sheetData>
    <row r="1" spans="1:39" x14ac:dyDescent="0.25">
      <c r="A1" s="1"/>
      <c r="B1" s="1"/>
      <c r="C1" s="1"/>
      <c r="D1" s="1"/>
      <c r="E1" s="1"/>
      <c r="F1" s="1"/>
      <c r="G1" s="1"/>
      <c r="H1" s="1"/>
      <c r="I1" s="1"/>
      <c r="J1" s="14"/>
      <c r="K1" s="15"/>
      <c r="L1" s="15"/>
      <c r="M1" s="15"/>
      <c r="N1" s="15"/>
      <c r="O1" s="15"/>
      <c r="P1" s="15"/>
      <c r="Q1" s="15"/>
      <c r="R1" s="15"/>
      <c r="S1" s="15"/>
      <c r="T1" s="16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</row>
    <row r="2" spans="1:39" x14ac:dyDescent="0.25">
      <c r="A2" s="1"/>
      <c r="B2" s="1"/>
      <c r="C2" s="1"/>
      <c r="D2" s="1"/>
      <c r="E2" s="1"/>
      <c r="F2" s="1"/>
      <c r="G2" s="1"/>
      <c r="H2" s="1"/>
      <c r="I2" s="1"/>
      <c r="J2" s="2"/>
      <c r="K2" s="3"/>
      <c r="L2" s="4"/>
      <c r="M2" s="4"/>
      <c r="N2" s="4"/>
      <c r="O2" s="4"/>
      <c r="P2" s="4"/>
      <c r="Q2" s="4"/>
      <c r="R2" s="4"/>
      <c r="S2" s="4"/>
      <c r="T2" s="5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</row>
    <row r="3" spans="1:39" x14ac:dyDescent="0.25">
      <c r="A3" s="1"/>
      <c r="B3" s="1"/>
      <c r="C3" s="1"/>
      <c r="D3" s="1"/>
      <c r="E3" s="1"/>
      <c r="F3" s="1"/>
      <c r="G3" s="1"/>
      <c r="H3" s="1"/>
      <c r="I3" s="1"/>
      <c r="J3" s="2"/>
      <c r="K3" s="6" t="s">
        <v>52</v>
      </c>
      <c r="L3" s="7">
        <f ca="1">TODAY()</f>
        <v>44679</v>
      </c>
      <c r="M3" s="7" t="s">
        <v>53</v>
      </c>
      <c r="N3" s="4"/>
      <c r="O3" s="4"/>
      <c r="P3" s="4"/>
      <c r="Q3" s="4"/>
      <c r="R3" s="4"/>
      <c r="S3" s="4"/>
      <c r="T3" s="5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1:39" x14ac:dyDescent="0.25">
      <c r="A4" s="1"/>
      <c r="B4" s="1"/>
      <c r="C4" s="1"/>
      <c r="D4" s="1"/>
      <c r="E4" s="1"/>
      <c r="F4" s="1"/>
      <c r="G4" s="1"/>
      <c r="H4" s="1"/>
      <c r="I4" s="1"/>
      <c r="J4" s="2"/>
      <c r="K4" s="4"/>
      <c r="L4" s="4"/>
      <c r="M4" s="4"/>
      <c r="N4" s="4"/>
      <c r="O4" s="4"/>
      <c r="P4" s="4"/>
      <c r="Q4" s="4"/>
      <c r="R4" s="4"/>
      <c r="S4" s="4"/>
      <c r="T4" s="5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</row>
    <row r="5" spans="1:39" x14ac:dyDescent="0.25">
      <c r="A5" s="1"/>
      <c r="B5" s="1"/>
      <c r="C5" s="1"/>
      <c r="D5" s="1"/>
      <c r="E5" s="1"/>
      <c r="F5" s="1"/>
      <c r="G5" s="1"/>
      <c r="H5" s="1"/>
      <c r="I5" s="1"/>
      <c r="J5" s="2"/>
      <c r="K5" s="4"/>
      <c r="L5" s="4"/>
      <c r="M5" s="4"/>
      <c r="N5" s="4"/>
      <c r="O5" s="4"/>
      <c r="P5" s="4"/>
      <c r="Q5" s="4"/>
      <c r="R5" s="4"/>
      <c r="S5" s="4"/>
      <c r="T5" s="5"/>
      <c r="U5" s="1"/>
      <c r="V5" s="1"/>
      <c r="W5" s="20" t="s">
        <v>56</v>
      </c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</row>
    <row r="6" spans="1:39" x14ac:dyDescent="0.25">
      <c r="A6" s="1"/>
      <c r="B6" s="1"/>
      <c r="C6" s="1"/>
      <c r="D6" s="1"/>
      <c r="E6" s="1"/>
      <c r="F6" s="1"/>
      <c r="G6" s="1"/>
      <c r="H6" s="1"/>
      <c r="I6" s="1"/>
      <c r="J6" s="2"/>
      <c r="K6" s="4"/>
      <c r="L6" s="4"/>
      <c r="M6" s="4"/>
      <c r="N6" s="4"/>
      <c r="O6" s="4"/>
      <c r="P6" s="8" t="s">
        <v>54</v>
      </c>
      <c r="Q6" s="8"/>
      <c r="R6" s="9">
        <f ca="1">TODAY()</f>
        <v>44679</v>
      </c>
      <c r="S6" s="4"/>
      <c r="T6" s="5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</row>
    <row r="7" spans="1:39" x14ac:dyDescent="0.25">
      <c r="A7" s="1"/>
      <c r="B7" s="1"/>
      <c r="C7" s="1"/>
      <c r="D7" s="1"/>
      <c r="E7" s="1"/>
      <c r="F7" s="1"/>
      <c r="G7" s="1"/>
      <c r="H7" s="1"/>
      <c r="I7" s="1"/>
      <c r="J7" s="2"/>
      <c r="K7" s="4"/>
      <c r="L7" s="4"/>
      <c r="M7" s="4"/>
      <c r="N7" s="4"/>
      <c r="O7" s="4"/>
      <c r="P7" s="6" t="s">
        <v>55</v>
      </c>
      <c r="Q7" s="4"/>
      <c r="R7" s="7">
        <f ca="1">TODAY()</f>
        <v>44679</v>
      </c>
      <c r="S7" s="4"/>
      <c r="T7" s="5"/>
      <c r="U7" s="1"/>
      <c r="V7" s="1"/>
      <c r="W7" s="20" t="s">
        <v>59</v>
      </c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</row>
    <row r="8" spans="1:39" x14ac:dyDescent="0.25">
      <c r="A8" s="1"/>
      <c r="B8" s="1"/>
      <c r="C8" s="1"/>
      <c r="D8" s="1"/>
      <c r="E8" s="1"/>
      <c r="F8" s="1"/>
      <c r="G8" s="1"/>
      <c r="H8" s="1"/>
      <c r="I8" s="1"/>
      <c r="J8" s="2"/>
      <c r="K8" s="4"/>
      <c r="L8" s="4"/>
      <c r="M8" s="4"/>
      <c r="N8" s="4"/>
      <c r="O8" s="4"/>
      <c r="P8" s="6" t="s">
        <v>56</v>
      </c>
      <c r="Q8" s="4"/>
      <c r="R8" s="10" t="s">
        <v>80</v>
      </c>
      <c r="S8" s="4"/>
      <c r="T8" s="5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 x14ac:dyDescent="0.25">
      <c r="A9" s="1"/>
      <c r="B9" s="1"/>
      <c r="C9" s="1"/>
      <c r="D9" s="1"/>
      <c r="E9" s="1"/>
      <c r="F9" s="1"/>
      <c r="G9" s="1"/>
      <c r="H9" s="1"/>
      <c r="I9" s="1"/>
      <c r="J9" s="2"/>
      <c r="K9" s="4"/>
      <c r="L9" s="4"/>
      <c r="M9" s="4"/>
      <c r="N9" s="4"/>
      <c r="O9" s="4"/>
      <c r="P9" s="6" t="s">
        <v>57</v>
      </c>
      <c r="Q9" s="4"/>
      <c r="R9" s="7">
        <f ca="1">DATE(YEAR(R7),MONTH(R7),DAY(R7)+7)</f>
        <v>44686</v>
      </c>
      <c r="S9" s="4"/>
      <c r="T9" s="5"/>
      <c r="U9" s="1"/>
      <c r="V9" s="1"/>
      <c r="W9" s="20" t="s">
        <v>71</v>
      </c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</row>
    <row r="10" spans="1:39" x14ac:dyDescent="0.25">
      <c r="A10" s="1"/>
      <c r="B10" s="1"/>
      <c r="C10" s="1"/>
      <c r="D10" s="1"/>
      <c r="E10" s="1"/>
      <c r="F10" s="1"/>
      <c r="G10" s="1"/>
      <c r="H10" s="1"/>
      <c r="I10" s="1"/>
      <c r="J10" s="2"/>
      <c r="K10" s="4"/>
      <c r="L10" s="4"/>
      <c r="M10" s="4"/>
      <c r="N10" s="4"/>
      <c r="O10" s="4"/>
      <c r="P10" s="4"/>
      <c r="Q10" s="4"/>
      <c r="R10" s="4"/>
      <c r="S10" s="4"/>
      <c r="T10" s="5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</row>
    <row r="11" spans="1:39" x14ac:dyDescent="0.25">
      <c r="A11" s="1"/>
      <c r="B11" s="1"/>
      <c r="C11" s="1"/>
      <c r="D11" s="1"/>
      <c r="E11" s="1"/>
      <c r="F11" s="1"/>
      <c r="G11" s="1"/>
      <c r="H11" s="1"/>
      <c r="I11" s="1"/>
      <c r="J11" s="2"/>
      <c r="K11" s="4"/>
      <c r="L11" s="4"/>
      <c r="M11" s="4"/>
      <c r="N11" s="4"/>
      <c r="O11" s="4"/>
      <c r="P11" s="4"/>
      <c r="Q11" s="4"/>
      <c r="R11" s="4"/>
      <c r="S11" s="4"/>
      <c r="T11" s="5"/>
      <c r="U11" s="1"/>
      <c r="V11" s="1"/>
      <c r="W11" s="20" t="s">
        <v>74</v>
      </c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 x14ac:dyDescent="0.25">
      <c r="A12" s="1"/>
      <c r="B12" s="1"/>
      <c r="C12" s="1"/>
      <c r="D12" s="1"/>
      <c r="E12" s="1"/>
      <c r="F12" s="1"/>
      <c r="G12" s="1"/>
      <c r="H12" s="1"/>
      <c r="I12" s="1"/>
      <c r="J12" s="2"/>
      <c r="K12" s="8" t="s">
        <v>58</v>
      </c>
      <c r="L12" s="4"/>
      <c r="M12" s="4"/>
      <c r="N12" s="4"/>
      <c r="O12" s="4"/>
      <c r="P12" s="8" t="s">
        <v>59</v>
      </c>
      <c r="Q12" s="4"/>
      <c r="R12" s="4"/>
      <c r="S12" s="4"/>
      <c r="T12" s="5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</row>
    <row r="13" spans="1:39" x14ac:dyDescent="0.25">
      <c r="A13" s="1"/>
      <c r="B13" s="1"/>
      <c r="C13" s="1"/>
      <c r="D13" s="1"/>
      <c r="E13" s="1"/>
      <c r="F13" s="1"/>
      <c r="G13" s="1"/>
      <c r="H13" s="1"/>
      <c r="I13" s="1"/>
      <c r="J13" s="2"/>
      <c r="K13" s="6" t="s">
        <v>60</v>
      </c>
      <c r="L13" s="4"/>
      <c r="M13" s="4"/>
      <c r="N13" s="4"/>
      <c r="O13" s="4"/>
      <c r="P13" s="6" t="s">
        <v>80</v>
      </c>
      <c r="Q13" s="4"/>
      <c r="R13" s="4"/>
      <c r="S13" s="4"/>
      <c r="T13" s="5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</row>
    <row r="14" spans="1:39" x14ac:dyDescent="0.25">
      <c r="A14" s="1"/>
      <c r="B14" s="1"/>
      <c r="C14" s="1"/>
      <c r="D14" s="1"/>
      <c r="E14" s="1"/>
      <c r="F14" s="1"/>
      <c r="G14" s="1"/>
      <c r="H14" s="1"/>
      <c r="I14" s="1"/>
      <c r="J14" s="2"/>
      <c r="K14" s="6" t="s">
        <v>61</v>
      </c>
      <c r="L14" s="4"/>
      <c r="M14" s="4"/>
      <c r="N14" s="4"/>
      <c r="O14" s="4"/>
      <c r="P14" s="4"/>
      <c r="Q14" s="4"/>
      <c r="R14" s="4"/>
      <c r="S14" s="4"/>
      <c r="T14" s="5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</row>
    <row r="15" spans="1:39" x14ac:dyDescent="0.25">
      <c r="A15" s="1"/>
      <c r="B15" s="1"/>
      <c r="C15" s="1"/>
      <c r="D15" s="1"/>
      <c r="E15" s="1"/>
      <c r="F15" s="1"/>
      <c r="G15" s="1"/>
      <c r="H15" s="1"/>
      <c r="I15" s="1"/>
      <c r="J15" s="2"/>
      <c r="K15" s="6" t="s">
        <v>62</v>
      </c>
      <c r="L15" s="4"/>
      <c r="M15" s="4"/>
      <c r="N15" s="4"/>
      <c r="O15" s="4"/>
      <c r="P15" s="4"/>
      <c r="Q15" s="4"/>
      <c r="R15" s="4"/>
      <c r="S15" s="4"/>
      <c r="T15" s="5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</row>
    <row r="16" spans="1:39" x14ac:dyDescent="0.25">
      <c r="A16" s="1"/>
      <c r="B16" s="1"/>
      <c r="C16" s="1"/>
      <c r="D16" s="1"/>
      <c r="E16" s="1"/>
      <c r="F16" s="1"/>
      <c r="G16" s="1"/>
      <c r="H16" s="1"/>
      <c r="I16" s="1"/>
      <c r="J16" s="2"/>
      <c r="K16" s="6" t="s">
        <v>63</v>
      </c>
      <c r="L16" s="4"/>
      <c r="M16" s="4"/>
      <c r="N16" s="4"/>
      <c r="O16" s="4"/>
      <c r="P16" s="4"/>
      <c r="Q16" s="4"/>
      <c r="R16" s="4"/>
      <c r="S16" s="4"/>
      <c r="T16" s="5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</row>
    <row r="17" spans="1:39" x14ac:dyDescent="0.25">
      <c r="A17" s="1"/>
      <c r="B17" s="1"/>
      <c r="C17" s="1"/>
      <c r="D17" s="1"/>
      <c r="E17" s="1"/>
      <c r="F17" s="1"/>
      <c r="G17" s="1"/>
      <c r="H17" s="1"/>
      <c r="I17" s="1"/>
      <c r="J17" s="2"/>
      <c r="K17" s="6" t="s">
        <v>64</v>
      </c>
      <c r="L17" s="4"/>
      <c r="M17" s="4"/>
      <c r="N17" s="4"/>
      <c r="O17" s="4"/>
      <c r="P17" s="4"/>
      <c r="Q17" s="4"/>
      <c r="R17" s="4"/>
      <c r="S17" s="4"/>
      <c r="T17" s="5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</row>
    <row r="18" spans="1:39" x14ac:dyDescent="0.25">
      <c r="A18" s="1"/>
      <c r="B18" s="1"/>
      <c r="C18" s="1"/>
      <c r="D18" s="1"/>
      <c r="E18" s="1"/>
      <c r="F18" s="1"/>
      <c r="G18" s="1"/>
      <c r="H18" s="1"/>
      <c r="I18" s="1"/>
      <c r="J18" s="2"/>
      <c r="K18" s="4"/>
      <c r="L18" s="4"/>
      <c r="M18" s="4"/>
      <c r="N18" s="4"/>
      <c r="O18" s="4"/>
      <c r="P18" s="4"/>
      <c r="Q18" s="4"/>
      <c r="R18" s="4"/>
      <c r="S18" s="4"/>
      <c r="T18" s="5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</row>
    <row r="19" spans="1:39" x14ac:dyDescent="0.25">
      <c r="A19" s="1"/>
      <c r="B19" s="1"/>
      <c r="C19" s="1"/>
      <c r="D19" s="1"/>
      <c r="E19" s="1"/>
      <c r="F19" s="1"/>
      <c r="G19" s="1"/>
      <c r="H19" s="1"/>
      <c r="I19" s="1"/>
      <c r="J19" s="2"/>
      <c r="K19" s="8" t="s">
        <v>65</v>
      </c>
      <c r="L19" s="4"/>
      <c r="M19" s="4"/>
      <c r="N19" s="4"/>
      <c r="O19" s="4"/>
      <c r="P19" s="4"/>
      <c r="Q19" s="4"/>
      <c r="R19" s="4"/>
      <c r="S19" s="4"/>
      <c r="T19" s="5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</row>
    <row r="20" spans="1:39" x14ac:dyDescent="0.25">
      <c r="A20" s="1"/>
      <c r="B20" s="1"/>
      <c r="C20" s="1"/>
      <c r="D20" s="1"/>
      <c r="E20" s="1"/>
      <c r="F20" s="1"/>
      <c r="G20" s="1"/>
      <c r="H20" s="1"/>
      <c r="I20" s="1"/>
      <c r="J20" s="2"/>
      <c r="K20" s="4"/>
      <c r="L20" s="4"/>
      <c r="M20" s="4"/>
      <c r="N20" s="4"/>
      <c r="O20" s="4"/>
      <c r="P20" s="4"/>
      <c r="Q20" s="4"/>
      <c r="R20" s="4"/>
      <c r="S20" s="4"/>
      <c r="T20" s="5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</row>
    <row r="21" spans="1:39" x14ac:dyDescent="0.25">
      <c r="A21" s="1"/>
      <c r="B21" s="1"/>
      <c r="C21" s="1"/>
      <c r="D21" s="1"/>
      <c r="E21" s="1"/>
      <c r="F21" s="1"/>
      <c r="G21" s="1"/>
      <c r="H21" s="1"/>
      <c r="I21" s="1"/>
      <c r="J21" s="2"/>
      <c r="K21" s="19" t="s">
        <v>66</v>
      </c>
      <c r="L21" s="24" t="s">
        <v>67</v>
      </c>
      <c r="M21" s="25"/>
      <c r="N21" s="24" t="s">
        <v>70</v>
      </c>
      <c r="O21" s="25"/>
      <c r="P21" s="30" t="s">
        <v>69</v>
      </c>
      <c r="Q21" s="30"/>
      <c r="R21" s="24" t="s">
        <v>73</v>
      </c>
      <c r="S21" s="25"/>
      <c r="T21" s="5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</row>
    <row r="22" spans="1:39" x14ac:dyDescent="0.25">
      <c r="A22" s="1"/>
      <c r="B22" s="1"/>
      <c r="C22" s="1"/>
      <c r="D22" s="1"/>
      <c r="E22" s="1"/>
      <c r="F22" s="1"/>
      <c r="G22" s="1"/>
      <c r="H22" s="1"/>
      <c r="I22" s="1"/>
      <c r="J22" s="2"/>
      <c r="K22" s="17">
        <v>1</v>
      </c>
      <c r="L22" s="26" t="s">
        <v>68</v>
      </c>
      <c r="M22" s="27"/>
      <c r="N22" s="22">
        <v>5</v>
      </c>
      <c r="O22" s="23"/>
      <c r="P22" s="31" t="s">
        <v>80</v>
      </c>
      <c r="Q22" s="31"/>
      <c r="R22" s="28" t="str">
        <f>IF(P22="","-",N22*100+ 1/(VLOOKUP(Faktura!P22,Samochody!A1:D17,4,FALSE))*500)</f>
        <v>-</v>
      </c>
      <c r="S22" s="29"/>
      <c r="T22" s="5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</row>
    <row r="23" spans="1:39" x14ac:dyDescent="0.25">
      <c r="A23" s="1"/>
      <c r="B23" s="1"/>
      <c r="C23" s="1"/>
      <c r="D23" s="1"/>
      <c r="E23" s="1"/>
      <c r="F23" s="1"/>
      <c r="G23" s="1"/>
      <c r="H23" s="1"/>
      <c r="I23" s="1"/>
      <c r="J23" s="2"/>
      <c r="K23" s="4"/>
      <c r="L23" s="4"/>
      <c r="M23" s="4"/>
      <c r="N23" s="4"/>
      <c r="O23" s="4"/>
      <c r="P23" s="4"/>
      <c r="Q23" s="4"/>
      <c r="R23" s="4"/>
      <c r="S23" s="4"/>
      <c r="T23" s="5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</row>
    <row r="24" spans="1:39" x14ac:dyDescent="0.25">
      <c r="A24" s="1"/>
      <c r="B24" s="1"/>
      <c r="C24" s="1"/>
      <c r="D24" s="1"/>
      <c r="E24" s="1"/>
      <c r="F24" s="1"/>
      <c r="G24" s="1"/>
      <c r="H24" s="1"/>
      <c r="I24" s="1"/>
      <c r="J24" s="2"/>
      <c r="K24" s="8"/>
      <c r="L24" s="4"/>
      <c r="M24" s="4"/>
      <c r="N24" s="4"/>
      <c r="O24" s="4"/>
      <c r="P24" s="4"/>
      <c r="Q24" s="4"/>
      <c r="R24" s="4"/>
      <c r="S24" s="4"/>
      <c r="T24" s="5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</row>
    <row r="25" spans="1:39" x14ac:dyDescent="0.25">
      <c r="A25" s="1"/>
      <c r="B25" s="1"/>
      <c r="C25" s="1"/>
      <c r="D25" s="1"/>
      <c r="E25" s="1"/>
      <c r="F25" s="1"/>
      <c r="G25" s="1"/>
      <c r="H25" s="1"/>
      <c r="I25" s="1"/>
      <c r="J25" s="2"/>
      <c r="K25" s="8" t="s">
        <v>72</v>
      </c>
      <c r="L25" s="4"/>
      <c r="M25" s="4"/>
      <c r="N25" s="4"/>
      <c r="O25" s="4"/>
      <c r="P25" s="4"/>
      <c r="Q25" s="4"/>
      <c r="R25" s="4"/>
      <c r="S25" s="4"/>
      <c r="T25" s="5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</row>
    <row r="26" spans="1:39" x14ac:dyDescent="0.25">
      <c r="A26" s="1"/>
      <c r="B26" s="1"/>
      <c r="C26" s="1"/>
      <c r="D26" s="1"/>
      <c r="E26" s="1"/>
      <c r="F26" s="1"/>
      <c r="G26" s="1"/>
      <c r="H26" s="1"/>
      <c r="I26" s="1"/>
      <c r="J26" s="2"/>
      <c r="K26" s="4"/>
      <c r="L26" s="4"/>
      <c r="M26" s="4"/>
      <c r="N26" s="4"/>
      <c r="O26" s="4"/>
      <c r="P26" s="4"/>
      <c r="Q26" s="4"/>
      <c r="R26" s="4"/>
      <c r="S26" s="4"/>
      <c r="T26" s="5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spans="1:39" x14ac:dyDescent="0.25">
      <c r="A27" s="1"/>
      <c r="B27" s="1"/>
      <c r="C27" s="1"/>
      <c r="D27" s="1"/>
      <c r="E27" s="1"/>
      <c r="F27" s="1"/>
      <c r="G27" s="1"/>
      <c r="H27" s="1"/>
      <c r="I27" s="1"/>
      <c r="J27" s="2"/>
      <c r="K27" s="24" t="s">
        <v>73</v>
      </c>
      <c r="L27" s="25"/>
      <c r="M27" s="24" t="s">
        <v>76</v>
      </c>
      <c r="N27" s="25"/>
      <c r="O27" s="24" t="s">
        <v>75</v>
      </c>
      <c r="P27" s="25"/>
      <c r="Q27" s="24" t="s">
        <v>77</v>
      </c>
      <c r="R27" s="33"/>
      <c r="S27" s="25"/>
      <c r="T27" s="5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</row>
    <row r="28" spans="1:39" x14ac:dyDescent="0.25">
      <c r="A28" s="1"/>
      <c r="B28" s="1"/>
      <c r="C28" s="1"/>
      <c r="D28" s="1"/>
      <c r="E28" s="1"/>
      <c r="F28" s="1"/>
      <c r="G28" s="1"/>
      <c r="H28" s="1"/>
      <c r="I28" s="1"/>
      <c r="J28" s="2"/>
      <c r="K28" s="28" t="str">
        <f>R22</f>
        <v>-</v>
      </c>
      <c r="L28" s="29"/>
      <c r="M28" s="26" t="s">
        <v>80</v>
      </c>
      <c r="N28" s="27"/>
      <c r="O28" s="26" t="str">
        <f>IF(M28="","-",IF(M28 = "Krajowy", "23%","0%"))</f>
        <v>-</v>
      </c>
      <c r="P28" s="27"/>
      <c r="Q28" s="28" t="str">
        <f>IF(O28="-","-",K28+K28*O28)</f>
        <v>-</v>
      </c>
      <c r="R28" s="34"/>
      <c r="S28" s="29"/>
      <c r="T28" s="5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</row>
    <row r="29" spans="1:39" x14ac:dyDescent="0.25">
      <c r="A29" s="1"/>
      <c r="B29" s="1"/>
      <c r="C29" s="1"/>
      <c r="D29" s="1"/>
      <c r="E29" s="1"/>
      <c r="F29" s="1"/>
      <c r="G29" s="1"/>
      <c r="H29" s="1"/>
      <c r="I29" s="1"/>
      <c r="J29" s="2"/>
      <c r="K29" s="4"/>
      <c r="L29" s="4"/>
      <c r="M29" s="4"/>
      <c r="N29" s="4"/>
      <c r="O29" s="4"/>
      <c r="P29" s="4"/>
      <c r="Q29" s="4"/>
      <c r="R29" s="4"/>
      <c r="S29" s="4"/>
      <c r="T29" s="5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</row>
    <row r="30" spans="1:39" x14ac:dyDescent="0.25">
      <c r="A30" s="1"/>
      <c r="B30" s="1"/>
      <c r="C30" s="1"/>
      <c r="D30" s="1"/>
      <c r="E30" s="1"/>
      <c r="F30" s="1"/>
      <c r="G30" s="1"/>
      <c r="H30" s="1"/>
      <c r="I30" s="1"/>
      <c r="J30" s="2"/>
      <c r="K30" s="4"/>
      <c r="L30" s="4"/>
      <c r="M30" s="4"/>
      <c r="N30" s="4"/>
      <c r="O30" s="4"/>
      <c r="P30" s="4"/>
      <c r="Q30" s="4"/>
      <c r="R30" s="4"/>
      <c r="S30" s="4"/>
      <c r="T30" s="5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</row>
    <row r="31" spans="1:39" x14ac:dyDescent="0.25">
      <c r="A31" s="1"/>
      <c r="B31" s="1"/>
      <c r="C31" s="1"/>
      <c r="D31" s="1"/>
      <c r="E31" s="1"/>
      <c r="F31" s="1"/>
      <c r="G31" s="1"/>
      <c r="H31" s="1"/>
      <c r="I31" s="1"/>
      <c r="J31" s="2"/>
      <c r="K31" s="4"/>
      <c r="L31" s="4"/>
      <c r="M31" s="4"/>
      <c r="N31" s="4"/>
      <c r="O31" s="4"/>
      <c r="P31" s="4"/>
      <c r="Q31" s="4"/>
      <c r="R31" s="4"/>
      <c r="S31" s="4"/>
      <c r="T31" s="5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</row>
    <row r="32" spans="1:39" x14ac:dyDescent="0.25">
      <c r="A32" s="1"/>
      <c r="B32" s="1"/>
      <c r="C32" s="1"/>
      <c r="D32" s="1"/>
      <c r="E32" s="1"/>
      <c r="F32" s="1"/>
      <c r="G32" s="1"/>
      <c r="H32" s="1"/>
      <c r="I32" s="1"/>
      <c r="J32" s="2"/>
      <c r="K32" s="4"/>
      <c r="L32" s="4"/>
      <c r="M32" s="4"/>
      <c r="N32" s="4"/>
      <c r="O32" s="4"/>
      <c r="P32" s="4"/>
      <c r="Q32" s="4"/>
      <c r="R32" s="4"/>
      <c r="S32" s="4"/>
      <c r="T32" s="5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</row>
    <row r="33" spans="1:39" x14ac:dyDescent="0.25">
      <c r="A33" s="1"/>
      <c r="B33" s="1"/>
      <c r="C33" s="1"/>
      <c r="D33" s="1"/>
      <c r="E33" s="1"/>
      <c r="F33" s="1"/>
      <c r="G33" s="1"/>
      <c r="H33" s="1"/>
      <c r="I33" s="1"/>
      <c r="J33" s="2"/>
      <c r="K33" s="4"/>
      <c r="L33" s="4"/>
      <c r="M33" s="4"/>
      <c r="N33" s="4"/>
      <c r="O33" s="4"/>
      <c r="P33" s="4"/>
      <c r="Q33" s="4"/>
      <c r="R33" s="4"/>
      <c r="S33" s="4"/>
      <c r="T33" s="5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</row>
    <row r="34" spans="1:39" x14ac:dyDescent="0.25">
      <c r="A34" s="1"/>
      <c r="B34" s="1"/>
      <c r="C34" s="1"/>
      <c r="D34" s="1"/>
      <c r="E34" s="1"/>
      <c r="F34" s="1"/>
      <c r="G34" s="1"/>
      <c r="H34" s="1"/>
      <c r="I34" s="1"/>
      <c r="J34" s="2"/>
      <c r="K34" s="4"/>
      <c r="L34" s="4"/>
      <c r="M34" s="4"/>
      <c r="N34" s="4"/>
      <c r="O34" s="4"/>
      <c r="P34" s="4"/>
      <c r="Q34" s="4"/>
      <c r="R34" s="4"/>
      <c r="S34" s="4"/>
      <c r="T34" s="5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</row>
    <row r="35" spans="1:39" x14ac:dyDescent="0.25">
      <c r="A35" s="1"/>
      <c r="B35" s="1"/>
      <c r="C35" s="1"/>
      <c r="D35" s="1"/>
      <c r="E35" s="1"/>
      <c r="F35" s="1"/>
      <c r="G35" s="1"/>
      <c r="H35" s="1"/>
      <c r="I35" s="1"/>
      <c r="J35" s="2"/>
      <c r="K35" s="21" t="s">
        <v>78</v>
      </c>
      <c r="L35" s="21"/>
      <c r="M35" s="4"/>
      <c r="N35" s="4"/>
      <c r="O35" s="4"/>
      <c r="P35" s="32" t="s">
        <v>79</v>
      </c>
      <c r="Q35" s="32"/>
      <c r="R35" s="32"/>
      <c r="S35" s="32"/>
      <c r="T35" s="5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</row>
    <row r="36" spans="1:39" x14ac:dyDescent="0.25">
      <c r="A36" s="1"/>
      <c r="B36" s="1"/>
      <c r="C36" s="1"/>
      <c r="D36" s="1"/>
      <c r="E36" s="1"/>
      <c r="F36" s="1"/>
      <c r="G36" s="1"/>
      <c r="H36" s="1"/>
      <c r="I36" s="1"/>
      <c r="J36" s="2"/>
      <c r="K36" s="4"/>
      <c r="L36" s="4"/>
      <c r="M36" s="4"/>
      <c r="N36" s="4"/>
      <c r="O36" s="4"/>
      <c r="P36" s="4"/>
      <c r="Q36" s="4"/>
      <c r="R36" s="4"/>
      <c r="S36" s="4"/>
      <c r="T36" s="5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</row>
    <row r="37" spans="1:39" ht="15.75" thickBot="1" x14ac:dyDescent="0.3">
      <c r="A37" s="1"/>
      <c r="B37" s="1"/>
      <c r="C37" s="1"/>
      <c r="D37" s="1"/>
      <c r="E37" s="1"/>
      <c r="F37" s="1"/>
      <c r="G37" s="1"/>
      <c r="H37" s="1"/>
      <c r="I37" s="1"/>
      <c r="J37" s="11"/>
      <c r="K37" s="12"/>
      <c r="L37" s="12"/>
      <c r="M37" s="12"/>
      <c r="N37" s="12"/>
      <c r="O37" s="12"/>
      <c r="P37" s="12"/>
      <c r="Q37" s="12"/>
      <c r="R37" s="12"/>
      <c r="S37" s="12"/>
      <c r="T37" s="13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</row>
    <row r="38" spans="1:3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</row>
    <row r="39" spans="1:3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</row>
    <row r="40" spans="1:3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</row>
    <row r="42" spans="1:3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</row>
    <row r="43" spans="1:3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</row>
    <row r="44" spans="1:3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</row>
    <row r="45" spans="1:3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</row>
    <row r="46" spans="1:3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</row>
    <row r="47" spans="1:39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</row>
    <row r="48" spans="1:39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</row>
    <row r="49" spans="1:39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</row>
    <row r="50" spans="1:39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</row>
    <row r="51" spans="1:39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</row>
    <row r="52" spans="1:39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</row>
    <row r="53" spans="1:39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</row>
    <row r="54" spans="1:39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</row>
    <row r="55" spans="1:39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</row>
    <row r="56" spans="1:39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</row>
    <row r="57" spans="1:39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</row>
    <row r="58" spans="1:39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:39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</row>
    <row r="60" spans="1:39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</row>
    <row r="61" spans="1:39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</row>
    <row r="62" spans="1:39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</row>
    <row r="63" spans="1:39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</row>
    <row r="64" spans="1:39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</row>
    <row r="65" spans="1:39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</row>
    <row r="66" spans="1:39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</row>
    <row r="67" spans="1:39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</row>
    <row r="68" spans="1:39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</row>
    <row r="69" spans="1:39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</row>
    <row r="70" spans="1:39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</row>
    <row r="71" spans="1:39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</row>
    <row r="72" spans="1:39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</row>
    <row r="73" spans="1:39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</row>
    <row r="74" spans="1:39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</row>
    <row r="75" spans="1:39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</row>
    <row r="76" spans="1:39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</row>
    <row r="77" spans="1:39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</row>
    <row r="78" spans="1:39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</row>
    <row r="79" spans="1:39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</row>
    <row r="80" spans="1:39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</row>
    <row r="81" spans="1:39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</row>
    <row r="82" spans="1:39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</row>
    <row r="83" spans="1:39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</row>
    <row r="84" spans="1:39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</row>
    <row r="85" spans="1:39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</row>
    <row r="86" spans="1:39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</row>
    <row r="87" spans="1:39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</row>
    <row r="88" spans="1:39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</row>
    <row r="89" spans="1:39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</row>
    <row r="90" spans="1:39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</row>
    <row r="91" spans="1:39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</row>
    <row r="92" spans="1:39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</row>
    <row r="93" spans="1:39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</row>
    <row r="94" spans="1:39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</row>
    <row r="95" spans="1:39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</row>
    <row r="96" spans="1:39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</row>
    <row r="97" spans="1:39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</row>
    <row r="98" spans="1:39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</row>
    <row r="99" spans="1:39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</row>
    <row r="100" spans="1:39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</row>
    <row r="101" spans="1:39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</row>
    <row r="102" spans="1:39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</row>
    <row r="103" spans="1:39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</row>
    <row r="104" spans="1:39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</row>
    <row r="105" spans="1:39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</row>
    <row r="106" spans="1:39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</row>
    <row r="107" spans="1:39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</row>
    <row r="108" spans="1:39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</row>
    <row r="109" spans="1:39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</row>
    <row r="110" spans="1:39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</row>
    <row r="111" spans="1:39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</row>
    <row r="112" spans="1:39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</row>
    <row r="113" spans="1:39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</row>
    <row r="114" spans="1:39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</row>
    <row r="115" spans="1:39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</row>
    <row r="116" spans="1:39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</row>
    <row r="117" spans="1:39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</row>
    <row r="118" spans="1:39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</row>
    <row r="119" spans="1:39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</row>
    <row r="120" spans="1:39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</row>
    <row r="121" spans="1:39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</row>
    <row r="122" spans="1:39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</row>
    <row r="123" spans="1:39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</row>
    <row r="124" spans="1:39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</row>
    <row r="125" spans="1:39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</row>
    <row r="126" spans="1:39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</row>
    <row r="127" spans="1:39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</row>
    <row r="128" spans="1:39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</row>
    <row r="129" spans="1:39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</row>
    <row r="130" spans="1:39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</row>
    <row r="131" spans="1:39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</row>
    <row r="132" spans="1:39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</row>
    <row r="133" spans="1:39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</row>
    <row r="134" spans="1:39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</row>
    <row r="135" spans="1:39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</row>
    <row r="136" spans="1:39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</row>
    <row r="137" spans="1:39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</row>
    <row r="138" spans="1:39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</row>
    <row r="139" spans="1:39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</row>
    <row r="140" spans="1:39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</row>
    <row r="141" spans="1:39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</row>
    <row r="142" spans="1:39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</row>
    <row r="143" spans="1:39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</row>
    <row r="144" spans="1:39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</row>
    <row r="145" spans="1:39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</row>
    <row r="146" spans="1:39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</row>
    <row r="147" spans="1:39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</row>
    <row r="148" spans="1:39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</row>
    <row r="149" spans="1:39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</row>
    <row r="150" spans="1:39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</row>
    <row r="151" spans="1:39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</row>
    <row r="152" spans="1:39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</row>
    <row r="153" spans="1:39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</row>
    <row r="154" spans="1:39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</row>
    <row r="155" spans="1:39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</row>
    <row r="156" spans="1:39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</row>
    <row r="157" spans="1:39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</row>
    <row r="158" spans="1:39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</row>
    <row r="159" spans="1:39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</row>
    <row r="160" spans="1:39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</row>
    <row r="161" spans="1:39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</row>
    <row r="162" spans="1:39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</row>
    <row r="163" spans="1:39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</row>
    <row r="164" spans="1:39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</row>
    <row r="165" spans="1:39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</row>
    <row r="166" spans="1:39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</row>
    <row r="167" spans="1:39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</row>
    <row r="168" spans="1:39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</row>
    <row r="169" spans="1:39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</row>
    <row r="170" spans="1:39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</row>
    <row r="171" spans="1:39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</row>
    <row r="172" spans="1:39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</row>
    <row r="173" spans="1:39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</row>
    <row r="174" spans="1:39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</row>
    <row r="175" spans="1:39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</row>
    <row r="176" spans="1:39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</row>
    <row r="177" spans="1:39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</row>
    <row r="178" spans="1:39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</row>
    <row r="179" spans="1:39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</row>
    <row r="180" spans="1:39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</row>
    <row r="181" spans="1:39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</row>
    <row r="182" spans="1:39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</row>
    <row r="183" spans="1:39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</row>
    <row r="184" spans="1:39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</row>
    <row r="185" spans="1:39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</row>
    <row r="186" spans="1:39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</row>
    <row r="187" spans="1:39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</row>
    <row r="188" spans="1:39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</row>
    <row r="189" spans="1:39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</row>
    <row r="190" spans="1:39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</row>
    <row r="191" spans="1:39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</row>
    <row r="192" spans="1:39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</row>
    <row r="193" spans="1:39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</row>
    <row r="194" spans="1:39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</row>
    <row r="195" spans="1:39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</row>
    <row r="196" spans="1:39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</row>
    <row r="197" spans="1:39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</row>
    <row r="198" spans="1:39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</row>
    <row r="199" spans="1:39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</row>
    <row r="200" spans="1:39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</row>
    <row r="201" spans="1:39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</row>
    <row r="202" spans="1:39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</row>
    <row r="203" spans="1:39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</row>
    <row r="204" spans="1:39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</row>
    <row r="205" spans="1:39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</row>
    <row r="206" spans="1:39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</row>
    <row r="207" spans="1:39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</row>
    <row r="208" spans="1:39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</row>
    <row r="209" spans="1:39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</row>
    <row r="210" spans="1:39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</row>
    <row r="211" spans="1:39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</row>
    <row r="212" spans="1:39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</row>
    <row r="213" spans="1:39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</row>
    <row r="214" spans="1:39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</row>
    <row r="215" spans="1:39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</row>
    <row r="216" spans="1:39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</row>
    <row r="217" spans="1:39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</row>
    <row r="218" spans="1:39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</row>
    <row r="219" spans="1:39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</row>
    <row r="220" spans="1:39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</row>
    <row r="221" spans="1:39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</row>
    <row r="222" spans="1:39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</row>
    <row r="223" spans="1:39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</row>
    <row r="224" spans="1:39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</row>
    <row r="225" spans="1:39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</row>
    <row r="226" spans="1:39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</row>
    <row r="227" spans="1:39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</row>
    <row r="228" spans="1:39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</row>
    <row r="229" spans="1:39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</row>
    <row r="230" spans="1:39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</row>
    <row r="231" spans="1:39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</row>
    <row r="232" spans="1:39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</row>
    <row r="233" spans="1:39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</row>
    <row r="234" spans="1:39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</row>
    <row r="235" spans="1:39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</row>
    <row r="236" spans="1:39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</row>
    <row r="237" spans="1:39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</row>
    <row r="238" spans="1:39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</row>
    <row r="239" spans="1:39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</row>
    <row r="240" spans="1:39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</row>
    <row r="241" spans="1:39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</row>
    <row r="242" spans="1:39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</row>
    <row r="243" spans="1:39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</row>
    <row r="244" spans="1:39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</row>
    <row r="245" spans="1:39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</row>
    <row r="246" spans="1:39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</row>
    <row r="247" spans="1:39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</row>
    <row r="248" spans="1:39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</row>
    <row r="249" spans="1:39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</row>
    <row r="250" spans="1:39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</row>
    <row r="251" spans="1:39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</row>
    <row r="252" spans="1:39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</row>
    <row r="253" spans="1:39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</row>
    <row r="254" spans="1:39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</row>
    <row r="255" spans="1:39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</row>
    <row r="256" spans="1:39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</row>
    <row r="257" spans="1:39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</row>
    <row r="258" spans="1:39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</row>
    <row r="259" spans="1:39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</row>
    <row r="260" spans="1:39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</row>
    <row r="261" spans="1:39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</row>
    <row r="262" spans="1:39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</row>
    <row r="263" spans="1:39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</row>
    <row r="264" spans="1:39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</row>
    <row r="265" spans="1:39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</row>
    <row r="266" spans="1:39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</row>
    <row r="267" spans="1:39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</row>
    <row r="268" spans="1:39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</row>
    <row r="269" spans="1:39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</row>
    <row r="270" spans="1:39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</row>
    <row r="271" spans="1:39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</row>
    <row r="272" spans="1:39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</row>
    <row r="273" spans="1:39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</row>
    <row r="274" spans="1:39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</row>
    <row r="275" spans="1:39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</row>
    <row r="276" spans="1:39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</row>
    <row r="277" spans="1:39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</row>
    <row r="278" spans="1:39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</row>
    <row r="279" spans="1:39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</row>
    <row r="280" spans="1:39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</row>
    <row r="281" spans="1:39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</row>
    <row r="282" spans="1:39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</row>
    <row r="283" spans="1:39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</row>
    <row r="284" spans="1:39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</row>
    <row r="285" spans="1:39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</row>
    <row r="286" spans="1:39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</row>
    <row r="287" spans="1:39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</row>
    <row r="288" spans="1:39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</row>
    <row r="289" spans="1:39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</row>
    <row r="290" spans="1:39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</row>
    <row r="291" spans="1:39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</row>
    <row r="292" spans="1:39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</row>
    <row r="293" spans="1:39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</row>
    <row r="294" spans="1:39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</row>
    <row r="295" spans="1:39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</row>
    <row r="296" spans="1:39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</row>
    <row r="297" spans="1:39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</row>
    <row r="298" spans="1:39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</row>
    <row r="299" spans="1:39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</row>
    <row r="300" spans="1:39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</row>
    <row r="301" spans="1:39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</row>
    <row r="302" spans="1:39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</row>
    <row r="303" spans="1:39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</row>
    <row r="304" spans="1:39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</row>
    <row r="305" spans="1:39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</row>
    <row r="306" spans="1:39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</row>
    <row r="307" spans="1:39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</row>
    <row r="308" spans="1:39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</row>
    <row r="309" spans="1:39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</row>
    <row r="310" spans="1:39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</row>
    <row r="311" spans="1:39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</row>
    <row r="312" spans="1:39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</row>
    <row r="313" spans="1:39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</row>
    <row r="314" spans="1:39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</row>
    <row r="315" spans="1:39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</row>
    <row r="316" spans="1:39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</row>
    <row r="317" spans="1:39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</row>
    <row r="318" spans="1:39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</row>
    <row r="319" spans="1:39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</row>
    <row r="320" spans="1:39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</row>
    <row r="321" spans="1:39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</row>
    <row r="322" spans="1:39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</row>
    <row r="323" spans="1:39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</row>
    <row r="324" spans="1:39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</row>
    <row r="325" spans="1:39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</row>
    <row r="326" spans="1:39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</row>
    <row r="327" spans="1:39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</row>
    <row r="328" spans="1:39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</row>
    <row r="329" spans="1:39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</row>
    <row r="330" spans="1:39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</row>
    <row r="331" spans="1:39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</row>
    <row r="332" spans="1:39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</row>
    <row r="333" spans="1:39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</row>
    <row r="334" spans="1:39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</row>
    <row r="335" spans="1:39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</row>
    <row r="336" spans="1:39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</row>
    <row r="337" spans="1:39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</row>
    <row r="338" spans="1:39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</row>
    <row r="339" spans="1:39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</row>
    <row r="340" spans="1:39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</row>
    <row r="341" spans="1:39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</row>
    <row r="342" spans="1:39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</row>
    <row r="343" spans="1:39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</row>
    <row r="344" spans="1:39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</row>
    <row r="345" spans="1:39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</row>
    <row r="346" spans="1:39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</row>
    <row r="347" spans="1:39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</row>
    <row r="348" spans="1:39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</row>
    <row r="349" spans="1:39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</row>
    <row r="350" spans="1:39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</row>
    <row r="351" spans="1:39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</row>
    <row r="352" spans="1:39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</row>
    <row r="353" spans="1:39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</row>
    <row r="354" spans="1:39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</row>
    <row r="355" spans="1:39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</row>
    <row r="356" spans="1:39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</row>
    <row r="357" spans="1:39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</row>
    <row r="358" spans="1:39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</row>
  </sheetData>
  <mergeCells count="18">
    <mergeCell ref="Q27:S27"/>
    <mergeCell ref="Q28:S28"/>
    <mergeCell ref="K35:L35"/>
    <mergeCell ref="N22:O22"/>
    <mergeCell ref="N21:O21"/>
    <mergeCell ref="L21:M21"/>
    <mergeCell ref="L22:M22"/>
    <mergeCell ref="K27:L27"/>
    <mergeCell ref="K28:L28"/>
    <mergeCell ref="M27:N27"/>
    <mergeCell ref="M28:N28"/>
    <mergeCell ref="O27:P27"/>
    <mergeCell ref="O28:P28"/>
    <mergeCell ref="P21:Q21"/>
    <mergeCell ref="P22:Q22"/>
    <mergeCell ref="P35:S35"/>
    <mergeCell ref="R21:S21"/>
    <mergeCell ref="R22:S22"/>
  </mergeCells>
  <pageMargins left="0.7" right="0.7" top="0.75" bottom="0.75" header="0.3" footer="0.3"/>
  <pageSetup paperSize="9" scale="14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boBox3">
          <controlPr defaultSize="0" autoLine="0" linkedCell="P22" r:id="rId5">
            <anchor moveWithCells="1">
              <from>
                <xdr:col>24</xdr:col>
                <xdr:colOff>47625</xdr:colOff>
                <xdr:row>7</xdr:row>
                <xdr:rowOff>171450</xdr:rowOff>
              </from>
              <to>
                <xdr:col>26</xdr:col>
                <xdr:colOff>247650</xdr:colOff>
                <xdr:row>9</xdr:row>
                <xdr:rowOff>38100</xdr:rowOff>
              </to>
            </anchor>
          </controlPr>
        </control>
      </mc:Choice>
      <mc:Fallback>
        <control shapeId="1029" r:id="rId4" name="ComboBox3"/>
      </mc:Fallback>
    </mc:AlternateContent>
    <mc:AlternateContent xmlns:mc="http://schemas.openxmlformats.org/markup-compatibility/2006">
      <mc:Choice Requires="x14">
        <control shapeId="1026" r:id="rId6" name="ComboBox1">
          <controlPr defaultSize="0" autoLine="0" autoPict="0" linkedCell="R8" r:id="rId7">
            <anchor moveWithCells="1">
              <from>
                <xdr:col>24</xdr:col>
                <xdr:colOff>47625</xdr:colOff>
                <xdr:row>3</xdr:row>
                <xdr:rowOff>180975</xdr:rowOff>
              </from>
              <to>
                <xdr:col>26</xdr:col>
                <xdr:colOff>247650</xdr:colOff>
                <xdr:row>5</xdr:row>
                <xdr:rowOff>38100</xdr:rowOff>
              </to>
            </anchor>
          </controlPr>
        </control>
      </mc:Choice>
      <mc:Fallback>
        <control shapeId="1026" r:id="rId6" name="ComboBox1"/>
      </mc:Fallback>
    </mc:AlternateContent>
    <mc:AlternateContent xmlns:mc="http://schemas.openxmlformats.org/markup-compatibility/2006">
      <mc:Choice Requires="x14">
        <control shapeId="1027" r:id="rId8" name="ComboBox2">
          <controlPr defaultSize="0" autoLine="0" linkedCell="P13" r:id="rId9">
            <anchor moveWithCells="1">
              <from>
                <xdr:col>24</xdr:col>
                <xdr:colOff>47625</xdr:colOff>
                <xdr:row>5</xdr:row>
                <xdr:rowOff>180975</xdr:rowOff>
              </from>
              <to>
                <xdr:col>26</xdr:col>
                <xdr:colOff>257175</xdr:colOff>
                <xdr:row>7</xdr:row>
                <xdr:rowOff>38100</xdr:rowOff>
              </to>
            </anchor>
          </controlPr>
        </control>
      </mc:Choice>
      <mc:Fallback>
        <control shapeId="1027" r:id="rId8" name="ComboBox2"/>
      </mc:Fallback>
    </mc:AlternateContent>
    <mc:AlternateContent xmlns:mc="http://schemas.openxmlformats.org/markup-compatibility/2006">
      <mc:Choice Requires="x14">
        <control shapeId="1030" r:id="rId10" name="ComboBox4">
          <controlPr defaultSize="0" autoLine="0" linkedCell="M28" r:id="rId11">
            <anchor moveWithCells="1">
              <from>
                <xdr:col>24</xdr:col>
                <xdr:colOff>47625</xdr:colOff>
                <xdr:row>9</xdr:row>
                <xdr:rowOff>171450</xdr:rowOff>
              </from>
              <to>
                <xdr:col>26</xdr:col>
                <xdr:colOff>266700</xdr:colOff>
                <xdr:row>11</xdr:row>
                <xdr:rowOff>28575</xdr:rowOff>
              </to>
            </anchor>
          </controlPr>
        </control>
      </mc:Choice>
      <mc:Fallback>
        <control shapeId="1030" r:id="rId10" name="ComboBox4"/>
      </mc:Fallback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Drukuj">
            <anchor moveWithCells="1" sizeWithCells="1">
              <from>
                <xdr:col>22</xdr:col>
                <xdr:colOff>104775</xdr:colOff>
                <xdr:row>12</xdr:row>
                <xdr:rowOff>171450</xdr:rowOff>
              </from>
              <to>
                <xdr:col>26</xdr:col>
                <xdr:colOff>190500</xdr:colOff>
                <xdr:row>15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9B051-AFAD-43C8-B3DF-88E8D3BD8037}">
  <sheetPr codeName="Samochody"/>
  <dimension ref="A1:D17"/>
  <sheetViews>
    <sheetView workbookViewId="0">
      <selection activeCell="C1" sqref="C1"/>
    </sheetView>
  </sheetViews>
  <sheetFormatPr defaultRowHeight="15" x14ac:dyDescent="0.25"/>
  <sheetData>
    <row r="1" spans="1:4" x14ac:dyDescent="0.25">
      <c r="A1" t="s">
        <v>0</v>
      </c>
      <c r="D1" s="18">
        <v>7</v>
      </c>
    </row>
    <row r="2" spans="1:4" x14ac:dyDescent="0.25">
      <c r="A2" t="s">
        <v>1</v>
      </c>
      <c r="D2" s="18">
        <v>1</v>
      </c>
    </row>
    <row r="3" spans="1:4" x14ac:dyDescent="0.25">
      <c r="A3" t="s">
        <v>2</v>
      </c>
      <c r="D3" s="18">
        <v>2</v>
      </c>
    </row>
    <row r="4" spans="1:4" x14ac:dyDescent="0.25">
      <c r="A4" t="s">
        <v>3</v>
      </c>
      <c r="D4" s="18">
        <v>1</v>
      </c>
    </row>
    <row r="5" spans="1:4" x14ac:dyDescent="0.25">
      <c r="A5" t="s">
        <v>4</v>
      </c>
      <c r="D5" s="18">
        <v>9</v>
      </c>
    </row>
    <row r="6" spans="1:4" x14ac:dyDescent="0.25">
      <c r="A6" t="s">
        <v>5</v>
      </c>
      <c r="D6" s="18">
        <v>1</v>
      </c>
    </row>
    <row r="7" spans="1:4" x14ac:dyDescent="0.25">
      <c r="A7" t="s">
        <v>6</v>
      </c>
      <c r="D7" s="18">
        <v>9</v>
      </c>
    </row>
    <row r="8" spans="1:4" x14ac:dyDescent="0.25">
      <c r="A8" t="s">
        <v>7</v>
      </c>
      <c r="D8" s="18">
        <v>6</v>
      </c>
    </row>
    <row r="9" spans="1:4" x14ac:dyDescent="0.25">
      <c r="A9" t="s">
        <v>8</v>
      </c>
      <c r="D9" s="18">
        <v>9</v>
      </c>
    </row>
    <row r="10" spans="1:4" x14ac:dyDescent="0.25">
      <c r="A10" t="s">
        <v>9</v>
      </c>
      <c r="D10" s="18">
        <v>9</v>
      </c>
    </row>
    <row r="11" spans="1:4" x14ac:dyDescent="0.25">
      <c r="A11" t="s">
        <v>10</v>
      </c>
      <c r="D11" s="18">
        <v>8</v>
      </c>
    </row>
    <row r="12" spans="1:4" x14ac:dyDescent="0.25">
      <c r="A12" t="s">
        <v>11</v>
      </c>
      <c r="D12" s="18">
        <v>3</v>
      </c>
    </row>
    <row r="13" spans="1:4" x14ac:dyDescent="0.25">
      <c r="A13" t="s">
        <v>12</v>
      </c>
      <c r="D13" s="18">
        <v>8</v>
      </c>
    </row>
    <row r="14" spans="1:4" x14ac:dyDescent="0.25">
      <c r="A14" t="s">
        <v>13</v>
      </c>
      <c r="D14" s="18">
        <v>2</v>
      </c>
    </row>
    <row r="15" spans="1:4" x14ac:dyDescent="0.25">
      <c r="A15" t="s">
        <v>14</v>
      </c>
      <c r="D15" s="18">
        <v>5</v>
      </c>
    </row>
    <row r="16" spans="1:4" x14ac:dyDescent="0.25">
      <c r="A16" t="s">
        <v>15</v>
      </c>
      <c r="D16" s="18">
        <v>8</v>
      </c>
    </row>
    <row r="17" spans="1:4" x14ac:dyDescent="0.25">
      <c r="A17" t="s">
        <v>16</v>
      </c>
      <c r="D17" s="18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EE2C4-4C56-4170-A141-391435810765}">
  <sheetPr codeName="Klienci"/>
  <dimension ref="A1:A35"/>
  <sheetViews>
    <sheetView topLeftCell="A19" workbookViewId="0">
      <selection activeCell="A36" sqref="A36"/>
    </sheetView>
  </sheetViews>
  <sheetFormatPr defaultRowHeight="15" x14ac:dyDescent="0.25"/>
  <sheetData>
    <row r="1" spans="1:1" x14ac:dyDescent="0.25">
      <c r="A1" t="s">
        <v>17</v>
      </c>
    </row>
    <row r="2" spans="1:1" x14ac:dyDescent="0.25">
      <c r="A2" t="s">
        <v>18</v>
      </c>
    </row>
    <row r="3" spans="1:1" x14ac:dyDescent="0.25">
      <c r="A3" t="s">
        <v>19</v>
      </c>
    </row>
    <row r="4" spans="1:1" x14ac:dyDescent="0.25">
      <c r="A4" t="s">
        <v>20</v>
      </c>
    </row>
    <row r="5" spans="1:1" x14ac:dyDescent="0.25">
      <c r="A5" t="s">
        <v>21</v>
      </c>
    </row>
    <row r="6" spans="1:1" x14ac:dyDescent="0.25">
      <c r="A6" t="s">
        <v>22</v>
      </c>
    </row>
    <row r="7" spans="1:1" x14ac:dyDescent="0.25">
      <c r="A7" t="s">
        <v>23</v>
      </c>
    </row>
    <row r="8" spans="1:1" x14ac:dyDescent="0.25">
      <c r="A8" t="s">
        <v>24</v>
      </c>
    </row>
    <row r="9" spans="1:1" x14ac:dyDescent="0.25">
      <c r="A9" t="s">
        <v>25</v>
      </c>
    </row>
    <row r="10" spans="1:1" x14ac:dyDescent="0.25">
      <c r="A10" t="s">
        <v>26</v>
      </c>
    </row>
    <row r="11" spans="1:1" x14ac:dyDescent="0.25">
      <c r="A11" t="s">
        <v>27</v>
      </c>
    </row>
    <row r="12" spans="1:1" x14ac:dyDescent="0.25">
      <c r="A12" t="s">
        <v>28</v>
      </c>
    </row>
    <row r="13" spans="1:1" x14ac:dyDescent="0.25">
      <c r="A13" t="s">
        <v>29</v>
      </c>
    </row>
    <row r="14" spans="1:1" x14ac:dyDescent="0.25">
      <c r="A14" t="s">
        <v>30</v>
      </c>
    </row>
    <row r="15" spans="1:1" x14ac:dyDescent="0.25">
      <c r="A15" t="s">
        <v>31</v>
      </c>
    </row>
    <row r="16" spans="1:1" x14ac:dyDescent="0.25">
      <c r="A16" t="s">
        <v>32</v>
      </c>
    </row>
    <row r="17" spans="1:1" x14ac:dyDescent="0.25">
      <c r="A17" t="s">
        <v>33</v>
      </c>
    </row>
    <row r="18" spans="1:1" x14ac:dyDescent="0.25">
      <c r="A18" t="s">
        <v>34</v>
      </c>
    </row>
    <row r="19" spans="1:1" x14ac:dyDescent="0.25">
      <c r="A19" t="s">
        <v>35</v>
      </c>
    </row>
    <row r="20" spans="1:1" x14ac:dyDescent="0.25">
      <c r="A20" t="s">
        <v>36</v>
      </c>
    </row>
    <row r="21" spans="1:1" x14ac:dyDescent="0.25">
      <c r="A21" t="s">
        <v>37</v>
      </c>
    </row>
    <row r="22" spans="1:1" x14ac:dyDescent="0.25">
      <c r="A22" t="s">
        <v>38</v>
      </c>
    </row>
    <row r="23" spans="1:1" x14ac:dyDescent="0.25">
      <c r="A23" t="s">
        <v>39</v>
      </c>
    </row>
    <row r="24" spans="1:1" x14ac:dyDescent="0.25">
      <c r="A24" t="s">
        <v>40</v>
      </c>
    </row>
    <row r="25" spans="1:1" x14ac:dyDescent="0.25">
      <c r="A25" t="s">
        <v>41</v>
      </c>
    </row>
    <row r="26" spans="1:1" x14ac:dyDescent="0.25">
      <c r="A26" t="s">
        <v>42</v>
      </c>
    </row>
    <row r="27" spans="1:1" x14ac:dyDescent="0.25">
      <c r="A27" t="s">
        <v>43</v>
      </c>
    </row>
    <row r="28" spans="1:1" x14ac:dyDescent="0.25">
      <c r="A28" t="s">
        <v>44</v>
      </c>
    </row>
    <row r="29" spans="1:1" x14ac:dyDescent="0.25">
      <c r="A29" t="s">
        <v>45</v>
      </c>
    </row>
    <row r="30" spans="1:1" x14ac:dyDescent="0.25">
      <c r="A30" t="s">
        <v>46</v>
      </c>
    </row>
    <row r="31" spans="1:1" x14ac:dyDescent="0.25">
      <c r="A31" t="s">
        <v>47</v>
      </c>
    </row>
    <row r="32" spans="1:1" x14ac:dyDescent="0.25">
      <c r="A32" t="s">
        <v>48</v>
      </c>
    </row>
    <row r="33" spans="1:1" x14ac:dyDescent="0.25">
      <c r="A33" t="s">
        <v>49</v>
      </c>
    </row>
    <row r="34" spans="1:1" x14ac:dyDescent="0.25">
      <c r="A34" t="s">
        <v>50</v>
      </c>
    </row>
    <row r="35" spans="1:1" x14ac:dyDescent="0.25">
      <c r="A35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Faktura</vt:lpstr>
      <vt:lpstr>Samochody</vt:lpstr>
      <vt:lpstr>Klienci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Kajetan Łodej</dc:creator>
  <cp:lastModifiedBy>Kajetan Łodej</cp:lastModifiedBy>
  <cp:lastPrinted>2022-01-19T21:18:13Z</cp:lastPrinted>
  <dcterms:created xsi:type="dcterms:W3CDTF">2022-01-19T18:57:29Z</dcterms:created>
  <dcterms:modified xsi:type="dcterms:W3CDTF">2022-04-28T17:57:06Z</dcterms:modified>
</cp:coreProperties>
</file>